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d24acp\Downloads\"/>
    </mc:Choice>
  </mc:AlternateContent>
  <xr:revisionPtr revIDLastSave="0" documentId="8_{2E8120F3-92FE-4305-90EA-385182FA43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ed Budget" sheetId="1" r:id="rId1"/>
    <sheet name="Category Summary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C12" i="1"/>
  <c r="C11" i="1"/>
  <c r="E10" i="1"/>
  <c r="B6" i="2"/>
  <c r="E14" i="1"/>
  <c r="E13" i="1"/>
  <c r="E12" i="1"/>
  <c r="E11" i="1"/>
  <c r="E9" i="1"/>
  <c r="E8" i="1"/>
  <c r="E7" i="1"/>
  <c r="E6" i="1"/>
  <c r="E5" i="1"/>
  <c r="E4" i="1"/>
  <c r="E3" i="1"/>
  <c r="E2" i="1"/>
  <c r="E15" i="1" l="1"/>
  <c r="E17" i="1" l="1"/>
</calcChain>
</file>

<file path=xl/sharedStrings.xml><?xml version="1.0" encoding="utf-8"?>
<sst xmlns="http://schemas.openxmlformats.org/spreadsheetml/2006/main" count="41" uniqueCount="27">
  <si>
    <t>Category</t>
  </si>
  <si>
    <t>Component</t>
  </si>
  <si>
    <t>Quantity</t>
  </si>
  <si>
    <t>Unit Cost (£)</t>
  </si>
  <si>
    <t>Total Cost (£)</t>
  </si>
  <si>
    <t>Electronics</t>
  </si>
  <si>
    <t>Pico Board</t>
  </si>
  <si>
    <t>SG90 Servo</t>
  </si>
  <si>
    <t>BH1750 Light Sensor</t>
  </si>
  <si>
    <t>HC-SR04 Ultrasonic</t>
  </si>
  <si>
    <t>Micro USB Cable</t>
  </si>
  <si>
    <t>Breadboard</t>
  </si>
  <si>
    <t>Manufacturing</t>
  </si>
  <si>
    <t>Assembly</t>
  </si>
  <si>
    <t>M3 Nuts</t>
  </si>
  <si>
    <t>M3 Washers</t>
  </si>
  <si>
    <t>Power</t>
  </si>
  <si>
    <t>4x AA Battery Holder</t>
  </si>
  <si>
    <t>AA Batteries</t>
  </si>
  <si>
    <t>Subtotal</t>
  </si>
  <si>
    <t>Final Total</t>
  </si>
  <si>
    <t>Total (£)</t>
  </si>
  <si>
    <t>Grand Total</t>
  </si>
  <si>
    <t>M3 Bolts (30mm)</t>
  </si>
  <si>
    <t>M3 Bolts (10mm)</t>
  </si>
  <si>
    <t>3D Printing (350g incl. buffer)</t>
  </si>
  <si>
    <t>Contingency (20%)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</si>
</sst>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44" fontId="0" fillId="0" borderId="1" xfId="1" applyFont="1" applyBorder="1"/>
    <xf numFmtId="0" fontId="0" fillId="0" borderId="0" xfId="0" applyBorder="1"/>
    <xf numFmtId="44" fontId="3" fillId="0" borderId="1" xfId="1" applyFont="1" applyBorder="1"/>
    <xf numFmtId="44" fontId="3" fillId="0" borderId="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F20" sqref="F20"/>
    </sheetView>
  </sheetViews>
  <sheetFormatPr defaultRowHeight="15" x14ac:dyDescent="0.25"/>
  <cols>
    <col min="1" max="1" width="17.5703125" customWidth="1"/>
    <col min="2" max="2" width="30.5703125" customWidth="1"/>
    <col min="3" max="3" width="9.5703125" customWidth="1"/>
    <col min="4" max="4" width="22" customWidth="1"/>
    <col min="5" max="5" width="12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>
        <v>1</v>
      </c>
      <c r="D2" s="4">
        <v>4.5</v>
      </c>
      <c r="E2" s="4">
        <f t="shared" ref="E2:E14" si="0">C2*D2</f>
        <v>4.5</v>
      </c>
    </row>
    <row r="3" spans="1:5" x14ac:dyDescent="0.25">
      <c r="A3" s="3" t="s">
        <v>5</v>
      </c>
      <c r="B3" s="3" t="s">
        <v>7</v>
      </c>
      <c r="C3" s="3">
        <v>10</v>
      </c>
      <c r="D3" s="4">
        <v>4</v>
      </c>
      <c r="E3" s="4">
        <f t="shared" si="0"/>
        <v>40</v>
      </c>
    </row>
    <row r="4" spans="1:5" x14ac:dyDescent="0.25">
      <c r="A4" s="3" t="s">
        <v>5</v>
      </c>
      <c r="B4" s="3" t="s">
        <v>8</v>
      </c>
      <c r="C4" s="3">
        <v>1</v>
      </c>
      <c r="D4" s="4">
        <v>5</v>
      </c>
      <c r="E4" s="4">
        <f t="shared" si="0"/>
        <v>5</v>
      </c>
    </row>
    <row r="5" spans="1:5" x14ac:dyDescent="0.25">
      <c r="A5" s="3" t="s">
        <v>5</v>
      </c>
      <c r="B5" s="3" t="s">
        <v>9</v>
      </c>
      <c r="C5" s="3">
        <v>2</v>
      </c>
      <c r="D5" s="4">
        <v>2</v>
      </c>
      <c r="E5" s="4">
        <f t="shared" si="0"/>
        <v>4</v>
      </c>
    </row>
    <row r="6" spans="1:5" x14ac:dyDescent="0.25">
      <c r="A6" s="3" t="s">
        <v>5</v>
      </c>
      <c r="B6" s="3" t="s">
        <v>10</v>
      </c>
      <c r="C6" s="3">
        <v>1</v>
      </c>
      <c r="D6" s="4">
        <v>3.5</v>
      </c>
      <c r="E6" s="4">
        <f t="shared" si="0"/>
        <v>3.5</v>
      </c>
    </row>
    <row r="7" spans="1:5" x14ac:dyDescent="0.25">
      <c r="A7" s="3" t="s">
        <v>5</v>
      </c>
      <c r="B7" s="3" t="s">
        <v>11</v>
      </c>
      <c r="C7" s="3">
        <v>1</v>
      </c>
      <c r="D7" s="4">
        <v>7</v>
      </c>
      <c r="E7" s="4">
        <f t="shared" si="0"/>
        <v>7</v>
      </c>
    </row>
    <row r="8" spans="1:5" x14ac:dyDescent="0.25">
      <c r="A8" s="3" t="s">
        <v>12</v>
      </c>
      <c r="B8" s="3" t="s">
        <v>25</v>
      </c>
      <c r="C8" s="3">
        <v>350</v>
      </c>
      <c r="D8" s="4">
        <v>0.02</v>
      </c>
      <c r="E8" s="4">
        <f t="shared" si="0"/>
        <v>7</v>
      </c>
    </row>
    <row r="9" spans="1:5" x14ac:dyDescent="0.25">
      <c r="A9" s="3" t="s">
        <v>13</v>
      </c>
      <c r="B9" s="3" t="s">
        <v>24</v>
      </c>
      <c r="C9" s="3">
        <v>8</v>
      </c>
      <c r="D9" s="4">
        <v>0.45</v>
      </c>
      <c r="E9" s="4">
        <f t="shared" si="0"/>
        <v>3.6</v>
      </c>
    </row>
    <row r="10" spans="1:5" x14ac:dyDescent="0.25">
      <c r="A10" s="3" t="s">
        <v>13</v>
      </c>
      <c r="B10" s="3" t="s">
        <v>23</v>
      </c>
      <c r="C10" s="3">
        <v>2</v>
      </c>
      <c r="D10" s="4">
        <v>0.5</v>
      </c>
      <c r="E10" s="4">
        <f t="shared" si="0"/>
        <v>1</v>
      </c>
    </row>
    <row r="11" spans="1:5" x14ac:dyDescent="0.25">
      <c r="A11" s="3" t="s">
        <v>13</v>
      </c>
      <c r="B11" s="3" t="s">
        <v>14</v>
      </c>
      <c r="C11" s="3">
        <f>$C$9+$C$10</f>
        <v>10</v>
      </c>
      <c r="D11" s="4">
        <v>0.05</v>
      </c>
      <c r="E11" s="4">
        <f t="shared" si="0"/>
        <v>0.5</v>
      </c>
    </row>
    <row r="12" spans="1:5" x14ac:dyDescent="0.25">
      <c r="A12" s="3" t="s">
        <v>13</v>
      </c>
      <c r="B12" s="3" t="s">
        <v>15</v>
      </c>
      <c r="C12" s="3">
        <f t="shared" ref="C12" si="1">$C$9+$C$10</f>
        <v>10</v>
      </c>
      <c r="D12" s="4">
        <v>0.05</v>
      </c>
      <c r="E12" s="4">
        <f t="shared" si="0"/>
        <v>0.5</v>
      </c>
    </row>
    <row r="13" spans="1:5" x14ac:dyDescent="0.25">
      <c r="A13" s="3" t="s">
        <v>16</v>
      </c>
      <c r="B13" s="3" t="s">
        <v>17</v>
      </c>
      <c r="C13" s="3">
        <v>1</v>
      </c>
      <c r="D13" s="4">
        <v>1.5</v>
      </c>
      <c r="E13" s="4">
        <f t="shared" si="0"/>
        <v>1.5</v>
      </c>
    </row>
    <row r="14" spans="1:5" x14ac:dyDescent="0.25">
      <c r="A14" s="3" t="s">
        <v>16</v>
      </c>
      <c r="B14" s="3" t="s">
        <v>18</v>
      </c>
      <c r="C14" s="3">
        <v>4</v>
      </c>
      <c r="D14" s="4">
        <v>0.3</v>
      </c>
      <c r="E14" s="4">
        <f t="shared" si="0"/>
        <v>1.2</v>
      </c>
    </row>
    <row r="15" spans="1:5" x14ac:dyDescent="0.25">
      <c r="A15" s="5"/>
      <c r="B15" s="5"/>
      <c r="C15" s="5"/>
      <c r="D15" s="2" t="s">
        <v>19</v>
      </c>
      <c r="E15" s="6">
        <f>SUM(E2:E14)</f>
        <v>79.3</v>
      </c>
    </row>
    <row r="16" spans="1:5" x14ac:dyDescent="0.25">
      <c r="A16" s="5"/>
      <c r="B16" s="5"/>
      <c r="C16" s="5"/>
      <c r="D16" s="2" t="s">
        <v>26</v>
      </c>
      <c r="E16" s="4">
        <f>E15*0.2</f>
        <v>15.86</v>
      </c>
    </row>
    <row r="17" spans="1:5" ht="15.75" thickBot="1" x14ac:dyDescent="0.3">
      <c r="A17" s="5"/>
      <c r="B17" s="5"/>
      <c r="C17" s="5"/>
      <c r="D17" s="2" t="s">
        <v>20</v>
      </c>
      <c r="E17" s="7">
        <f>E15+E16</f>
        <v>95.16</v>
      </c>
    </row>
    <row r="18" spans="1:5" ht="15.75" thickTop="1" x14ac:dyDescent="0.25"/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21</v>
      </c>
    </row>
    <row r="2" spans="1:2" x14ac:dyDescent="0.25">
      <c r="A2" t="s">
        <v>5</v>
      </c>
    </row>
    <row r="3" spans="1:2" x14ac:dyDescent="0.25">
      <c r="A3" t="s">
        <v>12</v>
      </c>
    </row>
    <row r="4" spans="1:2" x14ac:dyDescent="0.25">
      <c r="A4" t="s">
        <v>13</v>
      </c>
    </row>
    <row r="5" spans="1:2" x14ac:dyDescent="0.25">
      <c r="A5" t="s">
        <v>16</v>
      </c>
    </row>
    <row r="6" spans="1:2" x14ac:dyDescent="0.25">
      <c r="A6" s="1" t="s">
        <v>22</v>
      </c>
      <c r="B6">
        <f>SUM(B2:B5)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Budget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Senithu Dampegama [Student-PECS]</cp:lastModifiedBy>
  <cp:lastPrinted>2026-02-19T15:48:58Z</cp:lastPrinted>
  <dcterms:created xsi:type="dcterms:W3CDTF">2026-02-19T15:40:19Z</dcterms:created>
  <dcterms:modified xsi:type="dcterms:W3CDTF">2026-02-19T15:50:54Z</dcterms:modified>
</cp:coreProperties>
</file>